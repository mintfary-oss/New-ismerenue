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6. ТОРГИ\Сорокина\2026\Администрация\М05-00285-26-ЭА\"/>
    </mc:Choice>
  </mc:AlternateContent>
  <xr:revisionPtr revIDLastSave="0" documentId="8_{90EE724B-6629-4A80-9920-F933594A727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3" sheetId="5" r:id="rId1"/>
  </sheets>
  <calcPr calcId="191029" calcOnSave="0"/>
</workbook>
</file>

<file path=xl/calcChain.xml><?xml version="1.0" encoding="utf-8"?>
<calcChain xmlns="http://schemas.openxmlformats.org/spreadsheetml/2006/main">
  <c r="L5" i="5" l="1"/>
  <c r="I5" i="5"/>
  <c r="H5" i="5"/>
  <c r="J5" i="5" l="1"/>
  <c r="L6" i="5"/>
  <c r="L7" i="5" s="1"/>
  <c r="H6" i="5" l="1"/>
  <c r="I6" i="5" l="1"/>
  <c r="J6" i="5" l="1"/>
  <c r="H8" i="5" l="1"/>
</calcChain>
</file>

<file path=xl/sharedStrings.xml><?xml version="1.0" encoding="utf-8"?>
<sst xmlns="http://schemas.openxmlformats.org/spreadsheetml/2006/main" count="29" uniqueCount="29">
  <si>
    <t>№</t>
  </si>
  <si>
    <t>Ед. изм</t>
  </si>
  <si>
    <t>Кол-во</t>
  </si>
  <si>
    <t>Среднее квадратичное отклонение</t>
  </si>
  <si>
    <t>Цена за единицу изм. (руб.)</t>
  </si>
  <si>
    <t>рублей</t>
  </si>
  <si>
    <t>Оценка однородности совокупности значений выявленных цен, используемых в расчете Н(М)ЦК</t>
  </si>
  <si>
    <t>ИТОГО:</t>
  </si>
  <si>
    <t>В результате проведенного расчета Н(М)ЦК контракта составила:</t>
  </si>
  <si>
    <t>ОБОСНОВАНИЕ НАЧАЛЬНОЙ (МАКСИМАЛЬНОЙ) ЦЕНЫ КОНТРАКТА</t>
  </si>
  <si>
    <t>Наименование</t>
  </si>
  <si>
    <t>Средняя арифметическая цена за единицу</t>
  </si>
  <si>
    <t xml:space="preserve">Коэффициент вариации цен </t>
  </si>
  <si>
    <t>Н(М)ЦК</t>
  </si>
  <si>
    <t xml:space="preserve">В соответствии с Федеральным законом от 05.04.2013г. №44-ФЗ «О контрактной системе в сфере закупок товаров, работ, услуг для обеспечения государственных и муниципальных нужд» для установления начальной (максимальной) цены контракта (цены лота) источниками информации о ценах товаров, работ, услуг, являющихся предметом заказа, могут быть данные государственной статистической отчетности, реестр контрактов, информация о ценах производителей, общедоступные результаты изучения рынка, исследования рынка, проведенные по инициативе заказчика, уполномоченного органа, в том числе по контракту или гражданско-правовому договору, и иные источники информации.                                                                                                                                        </t>
  </si>
  <si>
    <t>Источники цен</t>
  </si>
  <si>
    <t>усл. ед</t>
  </si>
  <si>
    <t>Начальная (максимальная) цена контракта по минимальной цене</t>
  </si>
  <si>
    <t>Оказание услуг по разработке и размещению информационной платформы по прогнозированию распространения загрязняющих веществ в атмосферном воздухе на территории города Кемерово на базе данных о состоянии атмосферного воздуха с размещением интерактивного виджета на официальном сайте администрации города Кемерово</t>
  </si>
  <si>
    <t>Обоснование начальной (максимальной) цены муниципального контракта произведено методом сопоставимых рыночных цен (анализа рынка) в соответствии с частью 6 статьи 22 Федерального закона от 05.04.2013 № 44-ФЗ «О контрактной системе в сфере закупок товаров, работ, услуг для обеспечения государственных и муниципальных нужд».</t>
  </si>
  <si>
    <t xml:space="preserve">Начальник отдела информационных технологий </t>
  </si>
  <si>
    <t>Карташов И.А.</t>
  </si>
  <si>
    <t>месяц</t>
  </si>
  <si>
    <t>Оказание услуг по информационному и техническому сопровождению информационной платформы по прогнозированию распространения загрязняющих веществ в атмосферном воздухе на территории г. Кемерово на базе данных о состоянии атмосферного воздуха</t>
  </si>
  <si>
    <t>Дата составления обоснования НМЦК 16.07.2026</t>
  </si>
  <si>
    <t>Источник 1     вх. № 02-08/69 от 15.07.2026</t>
  </si>
  <si>
    <t>Источник 3     вх. № 02-08/71 от 16.07.2026</t>
  </si>
  <si>
    <t>Источник 2     вх. № 02-08/70 от 16.07.2026</t>
  </si>
  <si>
    <t>1 условная единица включает в себя оказание услуг в соответствии с описанием объекта закупки (Приложение № 1 к Муниципальному Контракту)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</si>
</sst>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\ _₽"/>
  </numFmts>
  <fonts count="15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1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/>
    <xf numFmtId="0" fontId="1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8" fillId="0" borderId="0" xfId="0" applyFont="1" applyBorder="1" applyAlignment="1">
      <alignment horizontal="justify" wrapText="1"/>
    </xf>
    <xf numFmtId="0" fontId="1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2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" fontId="7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165" fontId="13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Alignment="1" applyProtection="1">
      <alignment vertical="top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12" fillId="0" borderId="2" xfId="0" applyFont="1" applyFill="1" applyBorder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top" wrapText="1"/>
    </xf>
    <xf numFmtId="11" fontId="14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3</xdr:row>
      <xdr:rowOff>1600200</xdr:rowOff>
    </xdr:from>
    <xdr:to>
      <xdr:col>11</xdr:col>
      <xdr:colOff>1504950</xdr:colOff>
      <xdr:row>3</xdr:row>
      <xdr:rowOff>1962150</xdr:rowOff>
    </xdr:to>
    <xdr:pic>
      <xdr:nvPicPr>
        <xdr:cNvPr id="1885" name="Picture 5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343275"/>
          <a:ext cx="1485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266700</xdr:colOff>
      <xdr:row>3</xdr:row>
      <xdr:rowOff>1400175</xdr:rowOff>
    </xdr:from>
    <xdr:to>
      <xdr:col>11</xdr:col>
      <xdr:colOff>419100</xdr:colOff>
      <xdr:row>3</xdr:row>
      <xdr:rowOff>1628775</xdr:rowOff>
    </xdr:to>
    <xdr:pic>
      <xdr:nvPicPr>
        <xdr:cNvPr id="1886" name="Picture 6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3343275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zoomScaleNormal="100" zoomScaleSheetLayoutView="100" workbookViewId="0">
      <selection activeCell="G17" sqref="G17"/>
    </sheetView>
  </sheetViews>
  <sheetFormatPr defaultColWidth="9.140625" defaultRowHeight="12.75" x14ac:dyDescent="0.2"/>
  <cols>
    <col min="1" max="1" width="3.7109375" style="2" customWidth="1"/>
    <col min="2" max="2" width="35" style="2" customWidth="1"/>
    <col min="3" max="3" width="8.85546875" style="2" customWidth="1"/>
    <col min="4" max="4" width="6.85546875" style="2" customWidth="1"/>
    <col min="5" max="7" width="14.5703125" style="2" customWidth="1"/>
    <col min="8" max="8" width="15.5703125" style="2" customWidth="1"/>
    <col min="9" max="9" width="15.42578125" style="2" customWidth="1"/>
    <col min="10" max="10" width="14.28515625" style="2" customWidth="1"/>
    <col min="11" max="11" width="12.28515625" style="2" customWidth="1"/>
    <col min="12" max="12" width="18.28515625" style="2" customWidth="1"/>
    <col min="13" max="14" width="5.85546875" style="2" customWidth="1"/>
    <col min="15" max="16384" width="9.140625" style="2"/>
  </cols>
  <sheetData>
    <row r="1" spans="1:14" ht="25.5" customHeight="1" x14ac:dyDescent="0.2">
      <c r="A1" s="40" t="s">
        <v>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4" s="34" customFormat="1" ht="85.9" customHeight="1" x14ac:dyDescent="0.25">
      <c r="A2" s="43" t="s">
        <v>14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4" ht="42" customHeight="1" x14ac:dyDescent="0.2">
      <c r="A3" s="45" t="s">
        <v>0</v>
      </c>
      <c r="B3" s="45" t="s">
        <v>10</v>
      </c>
      <c r="C3" s="46" t="s">
        <v>1</v>
      </c>
      <c r="D3" s="46" t="s">
        <v>2</v>
      </c>
      <c r="E3" s="48" t="s">
        <v>15</v>
      </c>
      <c r="F3" s="48"/>
      <c r="G3" s="48"/>
      <c r="H3" s="49" t="s">
        <v>6</v>
      </c>
      <c r="I3" s="49"/>
      <c r="J3" s="49"/>
      <c r="K3" s="38" t="s">
        <v>17</v>
      </c>
      <c r="L3" s="39"/>
    </row>
    <row r="4" spans="1:14" ht="38.25" x14ac:dyDescent="0.2">
      <c r="A4" s="45"/>
      <c r="B4" s="46"/>
      <c r="C4" s="47"/>
      <c r="D4" s="47"/>
      <c r="E4" s="35" t="s">
        <v>25</v>
      </c>
      <c r="F4" s="35" t="s">
        <v>27</v>
      </c>
      <c r="G4" s="35" t="s">
        <v>26</v>
      </c>
      <c r="H4" s="13" t="s">
        <v>11</v>
      </c>
      <c r="I4" s="13" t="s">
        <v>3</v>
      </c>
      <c r="J4" s="3" t="s">
        <v>12</v>
      </c>
      <c r="K4" s="4" t="s">
        <v>4</v>
      </c>
      <c r="L4" s="13" t="s">
        <v>13</v>
      </c>
    </row>
    <row r="5" spans="1:14" s="5" customFormat="1" ht="180.6" customHeight="1" x14ac:dyDescent="0.25">
      <c r="A5" s="32">
        <v>1</v>
      </c>
      <c r="B5" s="28" t="s">
        <v>18</v>
      </c>
      <c r="C5" s="21" t="s">
        <v>16</v>
      </c>
      <c r="D5" s="21">
        <v>1</v>
      </c>
      <c r="E5" s="29">
        <v>3825000</v>
      </c>
      <c r="F5" s="29">
        <v>4207500</v>
      </c>
      <c r="G5" s="29">
        <v>4297387.5</v>
      </c>
      <c r="H5" s="22">
        <f>SUM(E5:G5)/3</f>
        <v>4109962.5</v>
      </c>
      <c r="I5" s="20">
        <f>_xlfn.STDEV.S(E5:G5)</f>
        <v>250843.89661450803</v>
      </c>
      <c r="J5" s="19">
        <f>I5/H5*100%</f>
        <v>6.1033135123375951E-2</v>
      </c>
      <c r="K5" s="23">
        <v>3825000</v>
      </c>
      <c r="L5" s="23">
        <f>K5*D5</f>
        <v>3825000</v>
      </c>
    </row>
    <row r="6" spans="1:14" s="5" customFormat="1" ht="157.5" x14ac:dyDescent="0.25">
      <c r="A6" s="27">
        <v>2</v>
      </c>
      <c r="B6" s="28" t="s">
        <v>23</v>
      </c>
      <c r="C6" s="21" t="s">
        <v>22</v>
      </c>
      <c r="D6" s="21">
        <v>51</v>
      </c>
      <c r="E6" s="29">
        <v>425000</v>
      </c>
      <c r="F6" s="29">
        <v>467500</v>
      </c>
      <c r="G6" s="29">
        <v>477487.5</v>
      </c>
      <c r="H6" s="22">
        <f>SUM(E6:G6)/3</f>
        <v>456662.5</v>
      </c>
      <c r="I6" s="20">
        <f>_xlfn.STDEV.S(E6:G6)</f>
        <v>27871.544068278672</v>
      </c>
      <c r="J6" s="19">
        <f>I6/H6*100%</f>
        <v>6.1033135123375958E-2</v>
      </c>
      <c r="K6" s="23">
        <v>425000</v>
      </c>
      <c r="L6" s="23">
        <f>K6*D6</f>
        <v>21675000</v>
      </c>
    </row>
    <row r="7" spans="1:14" s="1" customFormat="1" x14ac:dyDescent="0.2">
      <c r="A7" s="14"/>
      <c r="B7" s="6"/>
      <c r="C7" s="7"/>
      <c r="D7" s="15"/>
      <c r="E7" s="8"/>
      <c r="F7" s="8"/>
      <c r="G7" s="8"/>
      <c r="H7" s="9"/>
      <c r="I7" s="16"/>
      <c r="J7" s="16"/>
      <c r="K7" s="18" t="s">
        <v>7</v>
      </c>
      <c r="L7" s="17">
        <f>L5+L6</f>
        <v>25500000</v>
      </c>
    </row>
    <row r="8" spans="1:14" s="5" customFormat="1" ht="15.75" customHeight="1" x14ac:dyDescent="0.25">
      <c r="A8" s="41" t="s">
        <v>8</v>
      </c>
      <c r="B8" s="41"/>
      <c r="C8" s="41"/>
      <c r="D8" s="41"/>
      <c r="E8" s="41"/>
      <c r="F8" s="41"/>
      <c r="G8" s="41"/>
      <c r="H8" s="12">
        <f>L7</f>
        <v>25500000</v>
      </c>
      <c r="I8" s="11" t="s">
        <v>5</v>
      </c>
      <c r="J8" s="11"/>
      <c r="K8" s="11"/>
      <c r="L8" s="10"/>
    </row>
    <row r="9" spans="1:14" s="5" customFormat="1" ht="15.75" customHeight="1" x14ac:dyDescent="0.25">
      <c r="A9" s="30"/>
      <c r="B9" s="30"/>
      <c r="C9" s="30"/>
      <c r="D9" s="30"/>
      <c r="E9" s="30"/>
      <c r="F9" s="30"/>
      <c r="G9" s="30"/>
      <c r="H9" s="12"/>
      <c r="I9" s="11"/>
      <c r="J9" s="11"/>
      <c r="K9" s="11"/>
      <c r="L9" s="10"/>
    </row>
    <row r="10" spans="1:14" s="5" customFormat="1" ht="30" customHeight="1" x14ac:dyDescent="0.25">
      <c r="A10" s="42" t="s">
        <v>19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33"/>
    </row>
    <row r="11" spans="1:14" s="25" customFormat="1" ht="30.6" customHeight="1" x14ac:dyDescent="0.2">
      <c r="A11" s="50" t="s">
        <v>28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24"/>
    </row>
    <row r="12" spans="1:14" s="25" customFormat="1" ht="14.25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4"/>
    </row>
    <row r="13" spans="1:14" s="25" customFormat="1" x14ac:dyDescent="0.2">
      <c r="A13" s="36" t="s">
        <v>20</v>
      </c>
      <c r="B13" s="36"/>
      <c r="C13" s="36"/>
      <c r="D13" s="31"/>
      <c r="E13" s="31"/>
      <c r="F13" s="31"/>
      <c r="G13" s="31"/>
      <c r="H13" s="31"/>
      <c r="I13" s="31"/>
      <c r="J13" s="31"/>
      <c r="K13" s="31"/>
    </row>
    <row r="14" spans="1:14" s="25" customFormat="1" x14ac:dyDescent="0.2">
      <c r="A14" s="36" t="s">
        <v>21</v>
      </c>
      <c r="B14" s="36"/>
      <c r="C14" s="36"/>
      <c r="D14" s="31"/>
      <c r="E14" s="31"/>
      <c r="F14" s="31"/>
      <c r="G14" s="31"/>
      <c r="H14" s="31"/>
      <c r="I14" s="31"/>
      <c r="J14" s="31"/>
      <c r="K14" s="31"/>
    </row>
    <row r="15" spans="1:14" ht="14.45" customHeight="1" x14ac:dyDescent="0.2">
      <c r="A15" s="37" t="s">
        <v>24</v>
      </c>
      <c r="B15" s="37"/>
      <c r="C15" s="37"/>
    </row>
  </sheetData>
  <mergeCells count="15">
    <mergeCell ref="A13:C13"/>
    <mergeCell ref="A15:C15"/>
    <mergeCell ref="K3:L3"/>
    <mergeCell ref="A1:L1"/>
    <mergeCell ref="A8:G8"/>
    <mergeCell ref="A10:L10"/>
    <mergeCell ref="A2:L2"/>
    <mergeCell ref="A3:A4"/>
    <mergeCell ref="B3:B4"/>
    <mergeCell ref="C3:C4"/>
    <mergeCell ref="D3:D4"/>
    <mergeCell ref="E3:G3"/>
    <mergeCell ref="H3:J3"/>
    <mergeCell ref="A11:M11"/>
    <mergeCell ref="A14:C14"/>
  </mergeCells>
  <phoneticPr fontId="10" type="noConversion"/>
  <pageMargins left="0.19685039370078741" right="0" top="0.27559055118110237" bottom="0.23622047244094491" header="0.31496062992125984" footer="0.23622047244094491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umz6</cp:lastModifiedBy>
  <cp:lastPrinted>2025-05-16T05:31:32Z</cp:lastPrinted>
  <dcterms:created xsi:type="dcterms:W3CDTF">2014-01-15T18:15:09Z</dcterms:created>
  <dcterms:modified xsi:type="dcterms:W3CDTF">2026-07-29T04:45:13Z</dcterms:modified>
</cp:coreProperties>
</file>